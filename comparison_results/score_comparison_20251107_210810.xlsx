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\Documents\Documents\CU\peace_research\codes\AI_AC4a_Fall2023\yt_parser\comparison_results\"/>
    </mc:Choice>
  </mc:AlternateContent>
  <xr:revisionPtr revIDLastSave="0" documentId="13_ncr:1_{96B25585-985F-470C-9386-2C5057159BE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cores" sheetId="1" r:id="rId1"/>
    <sheet name="Pivot_Analysis" sheetId="2" r:id="rId2"/>
  </sheets>
  <definedNames>
    <definedName name="_xlnm._FilterDatabase" localSheetId="0" hidden="1">Scores!$A$1:$I$48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H50" i="1"/>
  <c r="I50" i="1"/>
  <c r="F50" i="1"/>
</calcChain>
</file>

<file path=xl/sharedStrings.xml><?xml version="1.0" encoding="utf-8"?>
<sst xmlns="http://schemas.openxmlformats.org/spreadsheetml/2006/main" count="207" uniqueCount="120">
  <si>
    <t>video_id</t>
  </si>
  <si>
    <t>title</t>
  </si>
  <si>
    <t>category</t>
  </si>
  <si>
    <t>channel</t>
  </si>
  <si>
    <t>transcript_length</t>
  </si>
  <si>
    <t>RoBERTa_Plain_score</t>
  </si>
  <si>
    <t>RoBERTa_Valence_Scaled_score</t>
  </si>
  <si>
    <t>LLM_V1_openai_score</t>
  </si>
  <si>
    <t>LLM_V3_FINAL_openai_score</t>
  </si>
  <si>
    <t>_GXNJ3V9lzg</t>
  </si>
  <si>
    <t>DK9TkLPJY6w</t>
  </si>
  <si>
    <t>k8j3N7dEwzY</t>
  </si>
  <si>
    <t>hlS5um3WJqg</t>
  </si>
  <si>
    <t>N4rkUhA4_AE</t>
  </si>
  <si>
    <t>K7otv-HjT44</t>
  </si>
  <si>
    <t>pSWF7iOP9Ww</t>
  </si>
  <si>
    <t>pq15ff11nnM</t>
  </si>
  <si>
    <t>RTf2MdntsF0</t>
  </si>
  <si>
    <t>SoZwKjQ0c18</t>
  </si>
  <si>
    <t>5zQ0WewZY50</t>
  </si>
  <si>
    <t>07JQr5W3970</t>
  </si>
  <si>
    <t>F2hN3JKZ-Go</t>
  </si>
  <si>
    <t>vjFL-cBcjKc</t>
  </si>
  <si>
    <t>YeABJbvcJ_k</t>
  </si>
  <si>
    <t>ohPToBog_-g</t>
  </si>
  <si>
    <t>0UEhMDAlX1Y</t>
  </si>
  <si>
    <t>TWpg1RmzAbc</t>
  </si>
  <si>
    <t>89R9ZxKaIOw</t>
  </si>
  <si>
    <t>5Hpgu7wSUQQ</t>
  </si>
  <si>
    <t>K_2_qgl_fpA</t>
  </si>
  <si>
    <t>IKa3RGP7-w4</t>
  </si>
  <si>
    <t>1Bgq3x7U25I</t>
  </si>
  <si>
    <t>4KqVpLpca0w</t>
  </si>
  <si>
    <t>esMWMkHqae4</t>
  </si>
  <si>
    <t>7aTXI9eAElo</t>
  </si>
  <si>
    <t>p8OFjK1Jp40</t>
  </si>
  <si>
    <t>mpC5V9c6moo</t>
  </si>
  <si>
    <t>kfuDJXZLqPQ</t>
  </si>
  <si>
    <t>WXkroI_X3fU</t>
  </si>
  <si>
    <t>y9T3ODZ4vno</t>
  </si>
  <si>
    <t>ZbbInww7AbA</t>
  </si>
  <si>
    <t>QDoNDL4BZwM</t>
  </si>
  <si>
    <t>Mh5TjsOD2cw</t>
  </si>
  <si>
    <t>wry0xQIajKI</t>
  </si>
  <si>
    <t>TFPh7PnRQq8</t>
  </si>
  <si>
    <t>dYzOV1nTXGM</t>
  </si>
  <si>
    <t>NfMdvee5HoY</t>
  </si>
  <si>
    <t>kieCFwMqKtE</t>
  </si>
  <si>
    <t>iqJ0kg9xvLs</t>
  </si>
  <si>
    <t>KloahKhSWTk</t>
  </si>
  <si>
    <t>2PeYDphtHYo</t>
  </si>
  <si>
    <t>gzLPa6NbcrE</t>
  </si>
  <si>
    <t>7PNCdOQvrRM</t>
  </si>
  <si>
    <t>yczYThn4nDI</t>
  </si>
  <si>
    <t>qsO-rULEfrk</t>
  </si>
  <si>
    <t>J4qqIJ312zI</t>
  </si>
  <si>
    <t>Jon Stewart's Post-Kimmel Primer on Free Speech in the Glori</t>
  </si>
  <si>
    <t xml:space="preserve">Jimmy Kimmel's Suspension Was Always About Censorship (Just </t>
  </si>
  <si>
    <t>Trump Sends Troops to Portland &amp; Shootings Trigger Left-Righ</t>
  </si>
  <si>
    <t>Hegseth Lectures "Fat Generals" and Trump Threatens War Agai</t>
  </si>
  <si>
    <t>Jon Stewart Makes the Case for Dems Holding the Line in Trum</t>
  </si>
  <si>
    <t>Trump Blames the Left for Charlie Kirk's Assassination as Rh</t>
  </si>
  <si>
    <t>Charlie Kirk Criticism Ignites MAGA Cancel Culture Spree | T</t>
  </si>
  <si>
    <t xml:space="preserve">Trump Suddenly Sides with Ukraine &amp; MAGA Spins Conspiracies </t>
  </si>
  <si>
    <t xml:space="preserve">Trump Blames Autism on Tylenol While Americans Prep for the </t>
  </si>
  <si>
    <t>Shutdown Sparks Cringey Meme War &amp; Trump Punishes Blue Citie</t>
  </si>
  <si>
    <t>Trump &amp; Tariffs: Last Week Tonight with John Oliver (HBO)</t>
  </si>
  <si>
    <t>Trump &amp; The Press: Last Week Tonight with John Oliver (HBO)</t>
  </si>
  <si>
    <t>Trump &amp; Deportations: Last Week Tonight with John Oliver (HB</t>
  </si>
  <si>
    <t xml:space="preserve">Trump’s One Big Beautiful Bill: Last Week Tonight with John </t>
  </si>
  <si>
    <t>Air Traffic Control: Last Week Tonight with John Oliver (HBO</t>
  </si>
  <si>
    <t>Jimmy Kimmel &amp; the FCC: Last Week Tonight with John Oliver (</t>
  </si>
  <si>
    <t>Mass Deportations: Last Week Tonight with John Oliver (HBO)</t>
  </si>
  <si>
    <t>AI Slop: Last Week Tonight with John Oliver (HBO)</t>
  </si>
  <si>
    <t>Tipping: Last Week Tonight with John Oliver (HBO)</t>
  </si>
  <si>
    <t>ICE Detention: Last Week Tonight with John Oliver (HBO)</t>
  </si>
  <si>
    <t>Jeremy’s Razors: The 2nd Greatest Commercial Ever</t>
  </si>
  <si>
    <t>How to Win a War in 37 Hours</t>
  </si>
  <si>
    <t>The Daily Wire Hosts REACT to the Hunter Biden Pardon</t>
  </si>
  <si>
    <t>Mexico's Door: The Center of America's Border Fight</t>
  </si>
  <si>
    <t>Should Christians Vote for Trump?</t>
  </si>
  <si>
    <t>Which Daily Wire Host Knows the Most American Trivia?!</t>
  </si>
  <si>
    <t>What Is The Pendragon Cycle?</t>
  </si>
  <si>
    <t>America Will Never Be The Same After Charlie Kirk’s Assassin</t>
  </si>
  <si>
    <t>This Question About Charlie Kirk Has Been Haunting Me</t>
  </si>
  <si>
    <t>Muslim Mayor DOUBLES DOWN...And It Only Gets Worse</t>
  </si>
  <si>
    <t>Leftists Are Getting Fired Right And Left For Celebrating Ch</t>
  </si>
  <si>
    <t>Muslim Mayor Lashes Out At Christian Citizen With Absurd Sta</t>
  </si>
  <si>
    <t>Left-Wing Terrorism Is A Real Threat That Can No Longer Be I</t>
  </si>
  <si>
    <t>I Now Have A Deeper Appreciation For This Ben Affleck Meme</t>
  </si>
  <si>
    <t>The “Great Replacement” Is Not Just A Conspiracy Theory | Pr</t>
  </si>
  <si>
    <t>Pam Bondi’s Hate Speech Comments Should End Her Career</t>
  </si>
  <si>
    <t>Matt Walsh Responds To These Pitiful Leftists Who Are Mockin</t>
  </si>
  <si>
    <t>$25,000 vs. $25,000,000</t>
  </si>
  <si>
    <t>The WILD Story of How the Mormons Created Utah</t>
  </si>
  <si>
    <t>Why the U.S. Military Spends So Much Money</t>
  </si>
  <si>
    <t>The Secret Trump Investigation Nobody is Talking About</t>
  </si>
  <si>
    <t>How Benjamin Netanyahu Relies on Hamas</t>
  </si>
  <si>
    <t>Why you’re so tired</t>
  </si>
  <si>
    <t>The Iran-Iraq War, Mapped</t>
  </si>
  <si>
    <t>The most important country you’ve never heard about, Mapped</t>
  </si>
  <si>
    <t>The War in Yemen, Mapped</t>
  </si>
  <si>
    <t>1955 vs 2025, who actually had it better?</t>
  </si>
  <si>
    <t>Political Commentary (Left)</t>
  </si>
  <si>
    <t>Political Commentary (Right)</t>
  </si>
  <si>
    <t>News &amp; Journalism</t>
  </si>
  <si>
    <t>The Daily Show</t>
  </si>
  <si>
    <t>LastWeekTonight</t>
  </si>
  <si>
    <t>DailyWire+</t>
  </si>
  <si>
    <t>Matt Walsh</t>
  </si>
  <si>
    <t>Johnny Harris</t>
  </si>
  <si>
    <t xml:space="preserve">AVERAGES = </t>
  </si>
  <si>
    <t>Column Labels</t>
  </si>
  <si>
    <t>Grand Total</t>
  </si>
  <si>
    <t>Average of transcript_length</t>
  </si>
  <si>
    <t>Average of RoBERTa_Plain_score</t>
  </si>
  <si>
    <t>Average of RoBERTa_Valence_Scaled_score</t>
  </si>
  <si>
    <t>Values</t>
  </si>
  <si>
    <t>Average of LLM_V3_FINAL_openai_score</t>
  </si>
  <si>
    <t>Average of LLM_V1_openai_score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</si>
</sst>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v Gilda" refreshedDate="45972.001755324076" createdVersion="8" refreshedVersion="8" minRefreshableVersion="3" recordCount="47" xr:uid="{2BA257C0-BC01-48E2-A2A0-5DA2DD95B46C}">
  <cacheSource type="worksheet">
    <worksheetSource ref="A1:I48" sheet="Scores"/>
  </cacheSource>
  <cacheFields count="9">
    <cacheField name="video_id" numFmtId="0">
      <sharedItems/>
    </cacheField>
    <cacheField name="title" numFmtId="0">
      <sharedItems/>
    </cacheField>
    <cacheField name="category" numFmtId="0">
      <sharedItems count="3">
        <s v="Political Commentary (Left)"/>
        <s v="Political Commentary (Right)"/>
        <s v="News &amp; Journalism"/>
      </sharedItems>
    </cacheField>
    <cacheField name="channel" numFmtId="0">
      <sharedItems containsBlank="1" count="6">
        <s v="The Daily Show"/>
        <m/>
        <s v="LastWeekTonight"/>
        <s v="DailyWire+"/>
        <s v="Matt Walsh"/>
        <s v="Johnny Harris"/>
      </sharedItems>
    </cacheField>
    <cacheField name="transcript_length" numFmtId="0">
      <sharedItems containsSemiMixedTypes="0" containsString="0" containsNumber="1" containsInteger="1" minValue="489" maxValue="31636" count="47">
        <n v="13734"/>
        <n v="13477"/>
        <n v="14128"/>
        <n v="8304"/>
        <n v="14585"/>
        <n v="8580"/>
        <n v="8891"/>
        <n v="10927"/>
        <n v="9756"/>
        <n v="9529"/>
        <n v="28288"/>
        <n v="29176"/>
        <n v="27427"/>
        <n v="26490"/>
        <n v="31636"/>
        <n v="25486"/>
        <n v="4369"/>
        <n v="28869"/>
        <n v="26231"/>
        <n v="24772"/>
        <n v="559"/>
        <n v="3376"/>
        <n v="2504"/>
        <n v="4305"/>
        <n v="2521"/>
        <n v="2434"/>
        <n v="489"/>
        <n v="2577"/>
        <n v="937"/>
        <n v="5451"/>
        <n v="2852"/>
        <n v="1619"/>
        <n v="6269"/>
        <n v="3417"/>
        <n v="4489"/>
        <n v="5007"/>
        <n v="3039"/>
        <n v="6448"/>
        <n v="5338"/>
        <n v="6074"/>
        <n v="27080"/>
        <n v="22713"/>
        <n v="4382"/>
        <n v="3960"/>
        <n v="5624"/>
        <n v="20876"/>
        <n v="5257"/>
      </sharedItems>
    </cacheField>
    <cacheField name="RoBERTa_Plain_score" numFmtId="2">
      <sharedItems containsSemiMixedTypes="0" containsString="0" containsNumber="1" minValue="2.4161000000000001" maxValue="2.5895000000000001"/>
    </cacheField>
    <cacheField name="RoBERTa_Valence_Scaled_score" numFmtId="2">
      <sharedItems containsSemiMixedTypes="0" containsString="0" containsNumber="1" minValue="1.3863000000000001" maxValue="2.2570000000000001"/>
    </cacheField>
    <cacheField name="LLM_V1_openai_score" numFmtId="2">
      <sharedItems containsSemiMixedTypes="0" containsString="0" containsNumber="1" minValue="0" maxValue="4"/>
    </cacheField>
    <cacheField name="LLM_V3_FINAL_openai_score" numFmtId="2">
      <sharedItems containsSemiMixedTypes="0" containsString="0" containsNumber="1" minValue="0.5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_GXNJ3V9lzg"/>
    <s v="Jon Stewart's Post-Kimmel Primer on Free Speech in the Glori"/>
    <x v="0"/>
    <x v="0"/>
    <x v="0"/>
    <n v="2.5697999999999999"/>
    <n v="2.2570000000000001"/>
    <n v="1"/>
    <n v="1.5"/>
  </r>
  <r>
    <s v="DK9TkLPJY6w"/>
    <s v="Jimmy Kimmel's Suspension Was Always About Censorship (Just "/>
    <x v="0"/>
    <x v="0"/>
    <x v="1"/>
    <n v="2.5280999999999998"/>
    <n v="2.1873"/>
    <n v="1.5"/>
    <n v="2.25"/>
  </r>
  <r>
    <s v="k8j3N7dEwzY"/>
    <s v="Trump Sends Troops to Portland &amp; Shootings Trigger Left-Righ"/>
    <x v="0"/>
    <x v="0"/>
    <x v="2"/>
    <n v="2.4956"/>
    <n v="2.1406999999999998"/>
    <n v="3"/>
    <n v="1.75"/>
  </r>
  <r>
    <s v="hlS5um3WJqg"/>
    <s v="Hegseth Lectures &quot;Fat Generals&quot; and Trump Threatens War Agai"/>
    <x v="0"/>
    <x v="1"/>
    <x v="3"/>
    <n v="2.4464999999999999"/>
    <n v="1.9719"/>
    <n v="0"/>
    <n v="1.5"/>
  </r>
  <r>
    <s v="N4rkUhA4_AE"/>
    <s v="Jon Stewart Makes the Case for Dems Holding the Line in Trum"/>
    <x v="0"/>
    <x v="0"/>
    <x v="4"/>
    <n v="2.5059999999999998"/>
    <n v="2.0857000000000001"/>
    <n v="3"/>
    <n v="1.5"/>
  </r>
  <r>
    <s v="K7otv-HjT44"/>
    <s v="Trump Blames the Left for Charlie Kirk's Assassination as Rh"/>
    <x v="0"/>
    <x v="0"/>
    <x v="5"/>
    <n v="2.5217999999999998"/>
    <n v="2.0950000000000002"/>
    <n v="1"/>
    <n v="2"/>
  </r>
  <r>
    <s v="pSWF7iOP9Ww"/>
    <s v="Charlie Kirk Criticism Ignites MAGA Cancel Culture Spree | T"/>
    <x v="0"/>
    <x v="0"/>
    <x v="6"/>
    <n v="2.4860000000000002"/>
    <n v="1.9799"/>
    <n v="1"/>
    <n v="1.5"/>
  </r>
  <r>
    <s v="pq15ff11nnM"/>
    <s v="Trump Suddenly Sides with Ukraine &amp; MAGA Spins Conspiracies "/>
    <x v="0"/>
    <x v="0"/>
    <x v="7"/>
    <n v="2.5124"/>
    <n v="2.1118000000000001"/>
    <n v="0.5"/>
    <n v="1.25"/>
  </r>
  <r>
    <s v="RTf2MdntsF0"/>
    <s v="Trump Blames Autism on Tylenol While Americans Prep for the "/>
    <x v="0"/>
    <x v="0"/>
    <x v="8"/>
    <n v="2.4965999999999999"/>
    <n v="2.1179999999999999"/>
    <n v="1"/>
    <n v="2"/>
  </r>
  <r>
    <s v="SoZwKjQ0c18"/>
    <s v="Shutdown Sparks Cringey Meme War &amp; Trump Punishes Blue Citie"/>
    <x v="0"/>
    <x v="1"/>
    <x v="9"/>
    <n v="2.4996999999999998"/>
    <n v="2.0680000000000001"/>
    <n v="0.5"/>
    <n v="1.75"/>
  </r>
  <r>
    <s v="5zQ0WewZY50"/>
    <s v="Trump &amp; Tariffs: Last Week Tonight with John Oliver (HBO)"/>
    <x v="0"/>
    <x v="2"/>
    <x v="10"/>
    <n v="2.5289000000000001"/>
    <n v="2.0632000000000001"/>
    <n v="0"/>
    <n v="1"/>
  </r>
  <r>
    <s v="07JQr5W3970"/>
    <s v="Trump &amp; The Press: Last Week Tonight with John Oliver (HBO)"/>
    <x v="0"/>
    <x v="2"/>
    <x v="11"/>
    <n v="2.5297999999999998"/>
    <n v="2.0558000000000001"/>
    <n v="2"/>
    <n v="1"/>
  </r>
  <r>
    <s v="F2hN3JKZ-Go"/>
    <s v="Trump &amp; Deportations: Last Week Tonight with John Oliver (HB"/>
    <x v="0"/>
    <x v="2"/>
    <x v="12"/>
    <n v="2.4965000000000002"/>
    <n v="1.9440999999999999"/>
    <n v="1.5"/>
    <n v="1.5"/>
  </r>
  <r>
    <s v="vjFL-cBcjKc"/>
    <s v="Trump’s One Big Beautiful Bill: Last Week Tonight with John "/>
    <x v="0"/>
    <x v="2"/>
    <x v="13"/>
    <n v="2.5133999999999999"/>
    <n v="1.9704999999999999"/>
    <n v="1"/>
    <n v="1.5"/>
  </r>
  <r>
    <s v="YeABJbvcJ_k"/>
    <s v="Air Traffic Control: Last Week Tonight with John Oliver (HBO"/>
    <x v="0"/>
    <x v="2"/>
    <x v="14"/>
    <n v="2.5367999999999999"/>
    <n v="2.0790000000000002"/>
    <n v="3"/>
    <n v="2.75"/>
  </r>
  <r>
    <s v="ohPToBog_-g"/>
    <s v="Jimmy Kimmel &amp; the FCC: Last Week Tonight with John Oliver ("/>
    <x v="0"/>
    <x v="2"/>
    <x v="15"/>
    <n v="2.5196000000000001"/>
    <n v="2.0417999999999998"/>
    <n v="1"/>
    <n v="1.5"/>
  </r>
  <r>
    <s v="0UEhMDAlX1Y"/>
    <s v="Mass Deportations: Last Week Tonight with John Oliver (HBO)"/>
    <x v="0"/>
    <x v="2"/>
    <x v="16"/>
    <n v="2.4538000000000002"/>
    <n v="1.9231"/>
    <n v="0"/>
    <n v="1.25"/>
  </r>
  <r>
    <s v="TWpg1RmzAbc"/>
    <s v="AI Slop: Last Week Tonight with John Oliver (HBO)"/>
    <x v="0"/>
    <x v="2"/>
    <x v="17"/>
    <n v="2.5602999999999998"/>
    <n v="2.1597"/>
    <n v="3"/>
    <n v="2.25"/>
  </r>
  <r>
    <s v="89R9ZxKaIOw"/>
    <s v="Tipping: Last Week Tonight with John Oliver (HBO)"/>
    <x v="0"/>
    <x v="2"/>
    <x v="18"/>
    <n v="2.5491999999999999"/>
    <n v="2.1192000000000002"/>
    <n v="4"/>
    <n v="1.75"/>
  </r>
  <r>
    <s v="5Hpgu7wSUQQ"/>
    <s v="ICE Detention: Last Week Tonight with John Oliver (HBO)"/>
    <x v="0"/>
    <x v="2"/>
    <x v="19"/>
    <n v="2.5104000000000002"/>
    <n v="1.9712000000000001"/>
    <n v="3.5"/>
    <n v="1.5"/>
  </r>
  <r>
    <s v="K_2_qgl_fpA"/>
    <s v="Jeremy’s Razors: The 2nd Greatest Commercial Ever"/>
    <x v="1"/>
    <x v="3"/>
    <x v="20"/>
    <n v="2.4641000000000002"/>
    <n v="1.9095"/>
    <n v="0.5"/>
    <n v="1"/>
  </r>
  <r>
    <s v="IKa3RGP7-w4"/>
    <s v="How to Win a War in 37 Hours"/>
    <x v="1"/>
    <x v="3"/>
    <x v="21"/>
    <n v="2.5741000000000001"/>
    <n v="2.1318999999999999"/>
    <n v="1.5"/>
    <n v="2"/>
  </r>
  <r>
    <s v="1Bgq3x7U25I"/>
    <s v="The Daily Wire Hosts REACT to the Hunter Biden Pardon"/>
    <x v="1"/>
    <x v="3"/>
    <x v="22"/>
    <n v="2.4864999999999999"/>
    <n v="1.9642999999999999"/>
    <n v="1"/>
    <n v="1.5"/>
  </r>
  <r>
    <s v="4KqVpLpca0w"/>
    <s v="Mexico's Door: The Center of America's Border Fight"/>
    <x v="1"/>
    <x v="3"/>
    <x v="23"/>
    <n v="2.5116000000000001"/>
    <n v="2.0181"/>
    <n v="1"/>
    <n v="2"/>
  </r>
  <r>
    <s v="esMWMkHqae4"/>
    <s v="Should Christians Vote for Trump?"/>
    <x v="1"/>
    <x v="3"/>
    <x v="24"/>
    <n v="2.4975999999999998"/>
    <n v="1.9914000000000001"/>
    <n v="1"/>
    <n v="1.5"/>
  </r>
  <r>
    <s v="7aTXI9eAElo"/>
    <s v="Which Daily Wire Host Knows the Most American Trivia?!"/>
    <x v="1"/>
    <x v="3"/>
    <x v="25"/>
    <n v="2.5411000000000001"/>
    <n v="2.1835"/>
    <n v="0"/>
    <n v="3"/>
  </r>
  <r>
    <s v="p8OFjK1Jp40"/>
    <s v="What Is The Pendragon Cycle?"/>
    <x v="1"/>
    <x v="3"/>
    <x v="26"/>
    <n v="2.4956999999999998"/>
    <n v="2.0261"/>
    <n v="2.5"/>
    <n v="2"/>
  </r>
  <r>
    <s v="mpC5V9c6moo"/>
    <s v="America Will Never Be The Same After Charlie Kirk’s Assassin"/>
    <x v="1"/>
    <x v="4"/>
    <x v="27"/>
    <n v="2.5884"/>
    <n v="2.2440000000000002"/>
    <n v="1"/>
    <n v="3"/>
  </r>
  <r>
    <s v="kfuDJXZLqPQ"/>
    <s v="This Question About Charlie Kirk Has Been Haunting Me"/>
    <x v="1"/>
    <x v="4"/>
    <x v="28"/>
    <n v="2.5895000000000001"/>
    <n v="2.1558000000000002"/>
    <n v="0"/>
    <n v="2"/>
  </r>
  <r>
    <s v="WXkroI_X3fU"/>
    <s v="Muslim Mayor DOUBLES DOWN...And It Only Gets Worse"/>
    <x v="1"/>
    <x v="4"/>
    <x v="29"/>
    <n v="2.5293999999999999"/>
    <n v="2.0053000000000001"/>
    <n v="0"/>
    <n v="1.75"/>
  </r>
  <r>
    <s v="y9T3ODZ4vno"/>
    <s v="Leftists Are Getting Fired Right And Left For Celebrating Ch"/>
    <x v="1"/>
    <x v="4"/>
    <x v="30"/>
    <n v="2.4636999999999998"/>
    <n v="2.0295000000000001"/>
    <n v="0"/>
    <n v="0.5"/>
  </r>
  <r>
    <s v="ZbbInww7AbA"/>
    <s v="Muslim Mayor Lashes Out At Christian Citizen With Absurd Sta"/>
    <x v="1"/>
    <x v="4"/>
    <x v="31"/>
    <n v="2.4984999999999999"/>
    <n v="2.1396000000000002"/>
    <n v="0.5"/>
    <n v="2.75"/>
  </r>
  <r>
    <s v="QDoNDL4BZwM"/>
    <s v="Left-Wing Terrorism Is A Real Threat That Can No Longer Be I"/>
    <x v="1"/>
    <x v="4"/>
    <x v="32"/>
    <n v="2.5194999999999999"/>
    <n v="1.9835"/>
    <n v="0"/>
    <n v="1.25"/>
  </r>
  <r>
    <s v="Mh5TjsOD2cw"/>
    <s v="I Now Have A Deeper Appreciation For This Ben Affleck Meme"/>
    <x v="1"/>
    <x v="4"/>
    <x v="33"/>
    <n v="2.5589"/>
    <n v="2.0724"/>
    <n v="1"/>
    <n v="3"/>
  </r>
  <r>
    <s v="wry0xQIajKI"/>
    <s v="The “Great Replacement” Is Not Just A Conspiracy Theory | Pr"/>
    <x v="1"/>
    <x v="4"/>
    <x v="34"/>
    <n v="2.5404"/>
    <n v="2.0838000000000001"/>
    <n v="0"/>
    <n v="1.5"/>
  </r>
  <r>
    <s v="TFPh7PnRQq8"/>
    <s v="Pam Bondi’s Hate Speech Comments Should End Her Career"/>
    <x v="1"/>
    <x v="4"/>
    <x v="35"/>
    <n v="2.5270999999999999"/>
    <n v="1.9522999999999999"/>
    <n v="0.5"/>
    <n v="1"/>
  </r>
  <r>
    <s v="dYzOV1nTXGM"/>
    <s v="Matt Walsh Responds To These Pitiful Leftists Who Are Mockin"/>
    <x v="1"/>
    <x v="4"/>
    <x v="36"/>
    <n v="2.5308000000000002"/>
    <n v="2.0998999999999999"/>
    <n v="0.5"/>
    <n v="2"/>
  </r>
  <r>
    <s v="NfMdvee5HoY"/>
    <s v="$25,000 vs. $25,000,000"/>
    <x v="2"/>
    <x v="5"/>
    <x v="37"/>
    <n v="2.4952999999999999"/>
    <n v="1.9836"/>
    <n v="2.5"/>
    <n v="1.5"/>
  </r>
  <r>
    <s v="kieCFwMqKtE"/>
    <s v="The WILD Story of How the Mormons Created Utah"/>
    <x v="2"/>
    <x v="5"/>
    <x v="38"/>
    <n v="2.5529000000000002"/>
    <n v="2.2170999999999998"/>
    <n v="1.5"/>
    <n v="4"/>
  </r>
  <r>
    <s v="iqJ0kg9xvLs"/>
    <s v="Why the U.S. Military Spends So Much Money"/>
    <x v="2"/>
    <x v="5"/>
    <x v="39"/>
    <n v="2.5015999999999998"/>
    <n v="2.0005999999999999"/>
    <n v="1"/>
    <n v="1"/>
  </r>
  <r>
    <s v="KloahKhSWTk"/>
    <s v="The Secret Trump Investigation Nobody is Talking About"/>
    <x v="2"/>
    <x v="5"/>
    <x v="40"/>
    <n v="2.5546000000000002"/>
    <n v="2.1747999999999998"/>
    <n v="1.5"/>
    <n v="2"/>
  </r>
  <r>
    <s v="2PeYDphtHYo"/>
    <s v="How Benjamin Netanyahu Relies on Hamas"/>
    <x v="2"/>
    <x v="5"/>
    <x v="41"/>
    <n v="2.5831"/>
    <n v="2.1021000000000001"/>
    <n v="3"/>
    <n v="1.5"/>
  </r>
  <r>
    <s v="gzLPa6NbcrE"/>
    <s v="Why you’re so tired"/>
    <x v="2"/>
    <x v="5"/>
    <x v="42"/>
    <n v="2.4958"/>
    <n v="1.9888999999999999"/>
    <n v="2.5"/>
    <n v="3"/>
  </r>
  <r>
    <s v="7PNCdOQvrRM"/>
    <s v="The Iran-Iraq War, Mapped"/>
    <x v="2"/>
    <x v="5"/>
    <x v="43"/>
    <n v="2.4161000000000001"/>
    <n v="1.3863000000000001"/>
    <n v="1"/>
    <n v="1.5"/>
  </r>
  <r>
    <s v="yczYThn4nDI"/>
    <s v="The most important country you’ve never heard about, Mapped"/>
    <x v="2"/>
    <x v="5"/>
    <x v="44"/>
    <n v="2.5017999999999998"/>
    <n v="1.9944"/>
    <n v="1"/>
    <n v="3"/>
  </r>
  <r>
    <s v="qsO-rULEfrk"/>
    <s v="The War in Yemen, Mapped"/>
    <x v="2"/>
    <x v="5"/>
    <x v="45"/>
    <n v="2.5464000000000002"/>
    <n v="2.0228999999999999"/>
    <n v="3.5"/>
    <n v="2"/>
  </r>
  <r>
    <s v="J4qqIJ312zI"/>
    <s v="1955 vs 2025, who actually had it better?"/>
    <x v="2"/>
    <x v="5"/>
    <x v="46"/>
    <n v="2.5449000000000002"/>
    <n v="2.0644"/>
    <n v="1.5"/>
    <n v="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8850D-744B-497F-B301-DD5D3D84E310}" name="PivotTable1" cacheId="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9"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>
      <items count="7">
        <item x="3"/>
        <item x="5"/>
        <item x="2"/>
        <item x="4"/>
        <item x="0"/>
        <item x="1"/>
        <item t="default"/>
      </items>
    </pivotField>
    <pivotField dataField="1" showAll="0">
      <items count="48">
        <item x="26"/>
        <item x="20"/>
        <item x="28"/>
        <item x="31"/>
        <item x="25"/>
        <item x="22"/>
        <item x="24"/>
        <item x="27"/>
        <item x="30"/>
        <item x="36"/>
        <item x="21"/>
        <item x="33"/>
        <item x="43"/>
        <item x="23"/>
        <item x="16"/>
        <item x="42"/>
        <item x="34"/>
        <item x="35"/>
        <item x="46"/>
        <item x="38"/>
        <item x="29"/>
        <item x="44"/>
        <item x="39"/>
        <item x="32"/>
        <item x="37"/>
        <item x="3"/>
        <item x="5"/>
        <item x="6"/>
        <item x="9"/>
        <item x="8"/>
        <item x="7"/>
        <item x="1"/>
        <item x="0"/>
        <item x="2"/>
        <item x="4"/>
        <item x="45"/>
        <item x="41"/>
        <item x="19"/>
        <item x="15"/>
        <item x="18"/>
        <item x="13"/>
        <item x="40"/>
        <item x="12"/>
        <item x="10"/>
        <item x="17"/>
        <item x="11"/>
        <item x="14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2"/>
  </colFields>
  <colItems count="4">
    <i>
      <x/>
    </i>
    <i>
      <x v="1"/>
    </i>
    <i>
      <x v="2"/>
    </i>
    <i t="grand">
      <x/>
    </i>
  </colItems>
  <dataFields count="5">
    <dataField name="Average of RoBERTa_Plain_score" fld="5" subtotal="average" baseField="3" baseItem="0" numFmtId="2"/>
    <dataField name="Average of RoBERTa_Valence_Scaled_score" fld="6" subtotal="average" baseField="2" baseItem="0" numFmtId="2"/>
    <dataField name="Average of LLM_V3_FINAL_openai_score" fld="8" subtotal="average" baseField="2" baseItem="0" numFmtId="2"/>
    <dataField name="Average of LLM_V1_openai_score" fld="7" subtotal="average" baseField="2" baseItem="0" numFmtId="2"/>
    <dataField name="Average of transcript_length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19" workbookViewId="0">
      <selection activeCell="F54" sqref="F54"/>
    </sheetView>
  </sheetViews>
  <sheetFormatPr defaultRowHeight="14.5" x14ac:dyDescent="0.35"/>
  <cols>
    <col min="1" max="1" width="12.7265625" customWidth="1"/>
    <col min="2" max="2" width="40.7265625" customWidth="1"/>
    <col min="3" max="3" width="25.08984375" customWidth="1"/>
    <col min="4" max="5" width="12.7265625" customWidth="1"/>
    <col min="6" max="6" width="13.26953125" style="1" customWidth="1"/>
    <col min="7" max="7" width="20.7265625" style="1" customWidth="1"/>
    <col min="8" max="8" width="14.36328125" style="1" customWidth="1"/>
    <col min="9" max="9" width="12.7265625" style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t="s">
        <v>56</v>
      </c>
      <c r="C2" t="s">
        <v>103</v>
      </c>
      <c r="D2" t="s">
        <v>106</v>
      </c>
      <c r="E2">
        <v>13734</v>
      </c>
      <c r="F2" s="1">
        <v>2.5697999999999999</v>
      </c>
      <c r="G2" s="1">
        <v>2.2570000000000001</v>
      </c>
      <c r="H2" s="1">
        <v>1</v>
      </c>
      <c r="I2" s="1">
        <v>1.5</v>
      </c>
    </row>
    <row r="3" spans="1:9" x14ac:dyDescent="0.35">
      <c r="A3" t="s">
        <v>10</v>
      </c>
      <c r="B3" t="s">
        <v>57</v>
      </c>
      <c r="C3" t="s">
        <v>103</v>
      </c>
      <c r="D3" t="s">
        <v>106</v>
      </c>
      <c r="E3">
        <v>13477</v>
      </c>
      <c r="F3" s="1">
        <v>2.5280999999999998</v>
      </c>
      <c r="G3" s="1">
        <v>2.1873</v>
      </c>
      <c r="H3" s="1">
        <v>1.5</v>
      </c>
      <c r="I3" s="1">
        <v>2.25</v>
      </c>
    </row>
    <row r="4" spans="1:9" x14ac:dyDescent="0.35">
      <c r="A4" t="s">
        <v>11</v>
      </c>
      <c r="B4" t="s">
        <v>58</v>
      </c>
      <c r="C4" t="s">
        <v>103</v>
      </c>
      <c r="D4" t="s">
        <v>106</v>
      </c>
      <c r="E4">
        <v>14128</v>
      </c>
      <c r="F4" s="1">
        <v>2.4956</v>
      </c>
      <c r="G4" s="1">
        <v>2.1406999999999998</v>
      </c>
      <c r="H4" s="1">
        <v>3</v>
      </c>
      <c r="I4" s="1">
        <v>1.75</v>
      </c>
    </row>
    <row r="5" spans="1:9" x14ac:dyDescent="0.35">
      <c r="A5" t="s">
        <v>12</v>
      </c>
      <c r="B5" t="s">
        <v>59</v>
      </c>
      <c r="C5" t="s">
        <v>103</v>
      </c>
      <c r="E5">
        <v>8304</v>
      </c>
      <c r="F5" s="1">
        <v>2.4464999999999999</v>
      </c>
      <c r="G5" s="1">
        <v>1.9719</v>
      </c>
      <c r="H5" s="1">
        <v>0</v>
      </c>
      <c r="I5" s="1">
        <v>1.5</v>
      </c>
    </row>
    <row r="6" spans="1:9" x14ac:dyDescent="0.35">
      <c r="A6" t="s">
        <v>13</v>
      </c>
      <c r="B6" t="s">
        <v>60</v>
      </c>
      <c r="C6" t="s">
        <v>103</v>
      </c>
      <c r="D6" t="s">
        <v>106</v>
      </c>
      <c r="E6">
        <v>14585</v>
      </c>
      <c r="F6" s="1">
        <v>2.5059999999999998</v>
      </c>
      <c r="G6" s="1">
        <v>2.0857000000000001</v>
      </c>
      <c r="H6" s="1">
        <v>3</v>
      </c>
      <c r="I6" s="1">
        <v>1.5</v>
      </c>
    </row>
    <row r="7" spans="1:9" x14ac:dyDescent="0.35">
      <c r="A7" t="s">
        <v>14</v>
      </c>
      <c r="B7" t="s">
        <v>61</v>
      </c>
      <c r="C7" t="s">
        <v>103</v>
      </c>
      <c r="D7" t="s">
        <v>106</v>
      </c>
      <c r="E7">
        <v>8580</v>
      </c>
      <c r="F7" s="1">
        <v>2.5217999999999998</v>
      </c>
      <c r="G7" s="1">
        <v>2.0950000000000002</v>
      </c>
      <c r="H7" s="1">
        <v>1</v>
      </c>
      <c r="I7" s="1">
        <v>2</v>
      </c>
    </row>
    <row r="8" spans="1:9" x14ac:dyDescent="0.35">
      <c r="A8" t="s">
        <v>15</v>
      </c>
      <c r="B8" t="s">
        <v>62</v>
      </c>
      <c r="C8" t="s">
        <v>103</v>
      </c>
      <c r="D8" t="s">
        <v>106</v>
      </c>
      <c r="E8">
        <v>8891</v>
      </c>
      <c r="F8" s="1">
        <v>2.4860000000000002</v>
      </c>
      <c r="G8" s="1">
        <v>1.9799</v>
      </c>
      <c r="H8" s="1">
        <v>1</v>
      </c>
      <c r="I8" s="1">
        <v>1.5</v>
      </c>
    </row>
    <row r="9" spans="1:9" x14ac:dyDescent="0.35">
      <c r="A9" t="s">
        <v>16</v>
      </c>
      <c r="B9" t="s">
        <v>63</v>
      </c>
      <c r="C9" t="s">
        <v>103</v>
      </c>
      <c r="D9" t="s">
        <v>106</v>
      </c>
      <c r="E9">
        <v>10927</v>
      </c>
      <c r="F9" s="1">
        <v>2.5124</v>
      </c>
      <c r="G9" s="1">
        <v>2.1118000000000001</v>
      </c>
      <c r="H9" s="1">
        <v>0.5</v>
      </c>
      <c r="I9" s="1">
        <v>1.25</v>
      </c>
    </row>
    <row r="10" spans="1:9" x14ac:dyDescent="0.35">
      <c r="A10" t="s">
        <v>17</v>
      </c>
      <c r="B10" t="s">
        <v>64</v>
      </c>
      <c r="C10" t="s">
        <v>103</v>
      </c>
      <c r="D10" t="s">
        <v>106</v>
      </c>
      <c r="E10">
        <v>9756</v>
      </c>
      <c r="F10" s="1">
        <v>2.4965999999999999</v>
      </c>
      <c r="G10" s="1">
        <v>2.1179999999999999</v>
      </c>
      <c r="H10" s="1">
        <v>1</v>
      </c>
      <c r="I10" s="1">
        <v>2</v>
      </c>
    </row>
    <row r="11" spans="1:9" x14ac:dyDescent="0.35">
      <c r="A11" t="s">
        <v>18</v>
      </c>
      <c r="B11" t="s">
        <v>65</v>
      </c>
      <c r="C11" t="s">
        <v>103</v>
      </c>
      <c r="E11">
        <v>9529</v>
      </c>
      <c r="F11" s="1">
        <v>2.4996999999999998</v>
      </c>
      <c r="G11" s="1">
        <v>2.0680000000000001</v>
      </c>
      <c r="H11" s="1">
        <v>0.5</v>
      </c>
      <c r="I11" s="1">
        <v>1.75</v>
      </c>
    </row>
    <row r="12" spans="1:9" x14ac:dyDescent="0.35">
      <c r="A12" t="s">
        <v>19</v>
      </c>
      <c r="B12" t="s">
        <v>66</v>
      </c>
      <c r="C12" t="s">
        <v>103</v>
      </c>
      <c r="D12" t="s">
        <v>107</v>
      </c>
      <c r="E12">
        <v>28288</v>
      </c>
      <c r="F12" s="1">
        <v>2.5289000000000001</v>
      </c>
      <c r="G12" s="1">
        <v>2.0632000000000001</v>
      </c>
      <c r="H12" s="1">
        <v>0</v>
      </c>
      <c r="I12" s="1">
        <v>1</v>
      </c>
    </row>
    <row r="13" spans="1:9" x14ac:dyDescent="0.35">
      <c r="A13" t="s">
        <v>20</v>
      </c>
      <c r="B13" t="s">
        <v>67</v>
      </c>
      <c r="C13" t="s">
        <v>103</v>
      </c>
      <c r="D13" t="s">
        <v>107</v>
      </c>
      <c r="E13">
        <v>29176</v>
      </c>
      <c r="F13" s="1">
        <v>2.5297999999999998</v>
      </c>
      <c r="G13" s="1">
        <v>2.0558000000000001</v>
      </c>
      <c r="H13" s="1">
        <v>2</v>
      </c>
      <c r="I13" s="1">
        <v>1</v>
      </c>
    </row>
    <row r="14" spans="1:9" x14ac:dyDescent="0.35">
      <c r="A14" t="s">
        <v>21</v>
      </c>
      <c r="B14" t="s">
        <v>68</v>
      </c>
      <c r="C14" t="s">
        <v>103</v>
      </c>
      <c r="D14" t="s">
        <v>107</v>
      </c>
      <c r="E14">
        <v>27427</v>
      </c>
      <c r="F14" s="1">
        <v>2.4965000000000002</v>
      </c>
      <c r="G14" s="1">
        <v>1.9440999999999999</v>
      </c>
      <c r="H14" s="1">
        <v>1.5</v>
      </c>
      <c r="I14" s="1">
        <v>1.5</v>
      </c>
    </row>
    <row r="15" spans="1:9" x14ac:dyDescent="0.35">
      <c r="A15" t="s">
        <v>22</v>
      </c>
      <c r="B15" t="s">
        <v>69</v>
      </c>
      <c r="C15" t="s">
        <v>103</v>
      </c>
      <c r="D15" t="s">
        <v>107</v>
      </c>
      <c r="E15">
        <v>26490</v>
      </c>
      <c r="F15" s="1">
        <v>2.5133999999999999</v>
      </c>
      <c r="G15" s="1">
        <v>1.9704999999999999</v>
      </c>
      <c r="H15" s="1">
        <v>1</v>
      </c>
      <c r="I15" s="1">
        <v>1.5</v>
      </c>
    </row>
    <row r="16" spans="1:9" x14ac:dyDescent="0.35">
      <c r="A16" t="s">
        <v>23</v>
      </c>
      <c r="B16" t="s">
        <v>70</v>
      </c>
      <c r="C16" t="s">
        <v>103</v>
      </c>
      <c r="D16" t="s">
        <v>107</v>
      </c>
      <c r="E16">
        <v>31636</v>
      </c>
      <c r="F16" s="1">
        <v>2.5367999999999999</v>
      </c>
      <c r="G16" s="1">
        <v>2.0790000000000002</v>
      </c>
      <c r="H16" s="1">
        <v>3</v>
      </c>
      <c r="I16" s="1">
        <v>2.75</v>
      </c>
    </row>
    <row r="17" spans="1:9" x14ac:dyDescent="0.35">
      <c r="A17" t="s">
        <v>24</v>
      </c>
      <c r="B17" t="s">
        <v>71</v>
      </c>
      <c r="C17" t="s">
        <v>103</v>
      </c>
      <c r="D17" t="s">
        <v>107</v>
      </c>
      <c r="E17">
        <v>25486</v>
      </c>
      <c r="F17" s="1">
        <v>2.5196000000000001</v>
      </c>
      <c r="G17" s="1">
        <v>2.0417999999999998</v>
      </c>
      <c r="H17" s="1">
        <v>1</v>
      </c>
      <c r="I17" s="1">
        <v>1.5</v>
      </c>
    </row>
    <row r="18" spans="1:9" x14ac:dyDescent="0.35">
      <c r="A18" t="s">
        <v>25</v>
      </c>
      <c r="B18" t="s">
        <v>72</v>
      </c>
      <c r="C18" t="s">
        <v>103</v>
      </c>
      <c r="D18" t="s">
        <v>107</v>
      </c>
      <c r="E18">
        <v>4369</v>
      </c>
      <c r="F18" s="1">
        <v>2.4538000000000002</v>
      </c>
      <c r="G18" s="1">
        <v>1.9231</v>
      </c>
      <c r="H18" s="1">
        <v>0</v>
      </c>
      <c r="I18" s="1">
        <v>1.25</v>
      </c>
    </row>
    <row r="19" spans="1:9" x14ac:dyDescent="0.35">
      <c r="A19" t="s">
        <v>26</v>
      </c>
      <c r="B19" t="s">
        <v>73</v>
      </c>
      <c r="C19" t="s">
        <v>103</v>
      </c>
      <c r="D19" t="s">
        <v>107</v>
      </c>
      <c r="E19">
        <v>28869</v>
      </c>
      <c r="F19" s="1">
        <v>2.5602999999999998</v>
      </c>
      <c r="G19" s="1">
        <v>2.1597</v>
      </c>
      <c r="H19" s="1">
        <v>3</v>
      </c>
      <c r="I19" s="1">
        <v>2.25</v>
      </c>
    </row>
    <row r="20" spans="1:9" x14ac:dyDescent="0.35">
      <c r="A20" t="s">
        <v>27</v>
      </c>
      <c r="B20" t="s">
        <v>74</v>
      </c>
      <c r="C20" t="s">
        <v>103</v>
      </c>
      <c r="D20" t="s">
        <v>107</v>
      </c>
      <c r="E20">
        <v>26231</v>
      </c>
      <c r="F20" s="1">
        <v>2.5491999999999999</v>
      </c>
      <c r="G20" s="1">
        <v>2.1192000000000002</v>
      </c>
      <c r="H20" s="1">
        <v>4</v>
      </c>
      <c r="I20" s="1">
        <v>1.75</v>
      </c>
    </row>
    <row r="21" spans="1:9" x14ac:dyDescent="0.35">
      <c r="A21" t="s">
        <v>28</v>
      </c>
      <c r="B21" t="s">
        <v>75</v>
      </c>
      <c r="C21" t="s">
        <v>103</v>
      </c>
      <c r="D21" t="s">
        <v>107</v>
      </c>
      <c r="E21">
        <v>24772</v>
      </c>
      <c r="F21" s="1">
        <v>2.5104000000000002</v>
      </c>
      <c r="G21" s="1">
        <v>1.9712000000000001</v>
      </c>
      <c r="H21" s="1">
        <v>3.5</v>
      </c>
      <c r="I21" s="1">
        <v>1.5</v>
      </c>
    </row>
    <row r="22" spans="1:9" x14ac:dyDescent="0.35">
      <c r="A22" t="s">
        <v>29</v>
      </c>
      <c r="B22" t="s">
        <v>76</v>
      </c>
      <c r="C22" t="s">
        <v>104</v>
      </c>
      <c r="D22" t="s">
        <v>108</v>
      </c>
      <c r="E22">
        <v>559</v>
      </c>
      <c r="F22" s="1">
        <v>2.4641000000000002</v>
      </c>
      <c r="G22" s="1">
        <v>1.9095</v>
      </c>
      <c r="H22" s="1">
        <v>0.5</v>
      </c>
      <c r="I22" s="1">
        <v>1</v>
      </c>
    </row>
    <row r="23" spans="1:9" x14ac:dyDescent="0.35">
      <c r="A23" t="s">
        <v>30</v>
      </c>
      <c r="B23" t="s">
        <v>77</v>
      </c>
      <c r="C23" t="s">
        <v>104</v>
      </c>
      <c r="D23" t="s">
        <v>108</v>
      </c>
      <c r="E23">
        <v>3376</v>
      </c>
      <c r="F23" s="1">
        <v>2.5741000000000001</v>
      </c>
      <c r="G23" s="1">
        <v>2.1318999999999999</v>
      </c>
      <c r="H23" s="1">
        <v>1.5</v>
      </c>
      <c r="I23" s="1">
        <v>2</v>
      </c>
    </row>
    <row r="24" spans="1:9" x14ac:dyDescent="0.35">
      <c r="A24" t="s">
        <v>31</v>
      </c>
      <c r="B24" t="s">
        <v>78</v>
      </c>
      <c r="C24" t="s">
        <v>104</v>
      </c>
      <c r="D24" t="s">
        <v>108</v>
      </c>
      <c r="E24">
        <v>2504</v>
      </c>
      <c r="F24" s="1">
        <v>2.4864999999999999</v>
      </c>
      <c r="G24" s="1">
        <v>1.9642999999999999</v>
      </c>
      <c r="H24" s="1">
        <v>1</v>
      </c>
      <c r="I24" s="1">
        <v>1.5</v>
      </c>
    </row>
    <row r="25" spans="1:9" x14ac:dyDescent="0.35">
      <c r="A25" t="s">
        <v>32</v>
      </c>
      <c r="B25" t="s">
        <v>79</v>
      </c>
      <c r="C25" t="s">
        <v>104</v>
      </c>
      <c r="D25" t="s">
        <v>108</v>
      </c>
      <c r="E25">
        <v>4305</v>
      </c>
      <c r="F25" s="1">
        <v>2.5116000000000001</v>
      </c>
      <c r="G25" s="1">
        <v>2.0181</v>
      </c>
      <c r="H25" s="1">
        <v>1</v>
      </c>
      <c r="I25" s="1">
        <v>2</v>
      </c>
    </row>
    <row r="26" spans="1:9" x14ac:dyDescent="0.35">
      <c r="A26" t="s">
        <v>33</v>
      </c>
      <c r="B26" t="s">
        <v>80</v>
      </c>
      <c r="C26" t="s">
        <v>104</v>
      </c>
      <c r="D26" t="s">
        <v>108</v>
      </c>
      <c r="E26">
        <v>2521</v>
      </c>
      <c r="F26" s="1">
        <v>2.4975999999999998</v>
      </c>
      <c r="G26" s="1">
        <v>1.9914000000000001</v>
      </c>
      <c r="H26" s="1">
        <v>1</v>
      </c>
      <c r="I26" s="1">
        <v>1.5</v>
      </c>
    </row>
    <row r="27" spans="1:9" x14ac:dyDescent="0.35">
      <c r="A27" t="s">
        <v>34</v>
      </c>
      <c r="B27" t="s">
        <v>81</v>
      </c>
      <c r="C27" t="s">
        <v>104</v>
      </c>
      <c r="D27" t="s">
        <v>108</v>
      </c>
      <c r="E27">
        <v>2434</v>
      </c>
      <c r="F27" s="1">
        <v>2.5411000000000001</v>
      </c>
      <c r="G27" s="1">
        <v>2.1835</v>
      </c>
      <c r="H27" s="1">
        <v>0</v>
      </c>
      <c r="I27" s="1">
        <v>3</v>
      </c>
    </row>
    <row r="28" spans="1:9" x14ac:dyDescent="0.35">
      <c r="A28" t="s">
        <v>35</v>
      </c>
      <c r="B28" t="s">
        <v>82</v>
      </c>
      <c r="C28" t="s">
        <v>104</v>
      </c>
      <c r="D28" t="s">
        <v>108</v>
      </c>
      <c r="E28">
        <v>489</v>
      </c>
      <c r="F28" s="1">
        <v>2.4956999999999998</v>
      </c>
      <c r="G28" s="1">
        <v>2.0261</v>
      </c>
      <c r="H28" s="1">
        <v>2.5</v>
      </c>
      <c r="I28" s="1">
        <v>2</v>
      </c>
    </row>
    <row r="29" spans="1:9" x14ac:dyDescent="0.35">
      <c r="A29" t="s">
        <v>36</v>
      </c>
      <c r="B29" t="s">
        <v>83</v>
      </c>
      <c r="C29" t="s">
        <v>104</v>
      </c>
      <c r="D29" t="s">
        <v>109</v>
      </c>
      <c r="E29">
        <v>2577</v>
      </c>
      <c r="F29" s="1">
        <v>2.5884</v>
      </c>
      <c r="G29" s="1">
        <v>2.2440000000000002</v>
      </c>
      <c r="H29" s="1">
        <v>1</v>
      </c>
      <c r="I29" s="1">
        <v>3</v>
      </c>
    </row>
    <row r="30" spans="1:9" x14ac:dyDescent="0.35">
      <c r="A30" t="s">
        <v>37</v>
      </c>
      <c r="B30" t="s">
        <v>84</v>
      </c>
      <c r="C30" t="s">
        <v>104</v>
      </c>
      <c r="D30" t="s">
        <v>109</v>
      </c>
      <c r="E30">
        <v>937</v>
      </c>
      <c r="F30" s="1">
        <v>2.5895000000000001</v>
      </c>
      <c r="G30" s="1">
        <v>2.1558000000000002</v>
      </c>
      <c r="H30" s="1">
        <v>0</v>
      </c>
      <c r="I30" s="1">
        <v>2</v>
      </c>
    </row>
    <row r="31" spans="1:9" x14ac:dyDescent="0.35">
      <c r="A31" t="s">
        <v>38</v>
      </c>
      <c r="B31" t="s">
        <v>85</v>
      </c>
      <c r="C31" t="s">
        <v>104</v>
      </c>
      <c r="D31" t="s">
        <v>109</v>
      </c>
      <c r="E31">
        <v>5451</v>
      </c>
      <c r="F31" s="1">
        <v>2.5293999999999999</v>
      </c>
      <c r="G31" s="1">
        <v>2.0053000000000001</v>
      </c>
      <c r="H31" s="1">
        <v>0</v>
      </c>
      <c r="I31" s="1">
        <v>1.75</v>
      </c>
    </row>
    <row r="32" spans="1:9" x14ac:dyDescent="0.35">
      <c r="A32" t="s">
        <v>39</v>
      </c>
      <c r="B32" t="s">
        <v>86</v>
      </c>
      <c r="C32" t="s">
        <v>104</v>
      </c>
      <c r="D32" t="s">
        <v>109</v>
      </c>
      <c r="E32">
        <v>2852</v>
      </c>
      <c r="F32" s="1">
        <v>2.4636999999999998</v>
      </c>
      <c r="G32" s="1">
        <v>2.0295000000000001</v>
      </c>
      <c r="H32" s="1">
        <v>0</v>
      </c>
      <c r="I32" s="1">
        <v>0.5</v>
      </c>
    </row>
    <row r="33" spans="1:9" x14ac:dyDescent="0.35">
      <c r="A33" t="s">
        <v>40</v>
      </c>
      <c r="B33" t="s">
        <v>87</v>
      </c>
      <c r="C33" t="s">
        <v>104</v>
      </c>
      <c r="D33" t="s">
        <v>109</v>
      </c>
      <c r="E33">
        <v>1619</v>
      </c>
      <c r="F33" s="1">
        <v>2.4984999999999999</v>
      </c>
      <c r="G33" s="1">
        <v>2.1396000000000002</v>
      </c>
      <c r="H33" s="1">
        <v>0.5</v>
      </c>
      <c r="I33" s="1">
        <v>2.75</v>
      </c>
    </row>
    <row r="34" spans="1:9" x14ac:dyDescent="0.35">
      <c r="A34" t="s">
        <v>41</v>
      </c>
      <c r="B34" t="s">
        <v>88</v>
      </c>
      <c r="C34" t="s">
        <v>104</v>
      </c>
      <c r="D34" t="s">
        <v>109</v>
      </c>
      <c r="E34">
        <v>6269</v>
      </c>
      <c r="F34" s="1">
        <v>2.5194999999999999</v>
      </c>
      <c r="G34" s="1">
        <v>1.9835</v>
      </c>
      <c r="H34" s="1">
        <v>0</v>
      </c>
      <c r="I34" s="1">
        <v>1.25</v>
      </c>
    </row>
    <row r="35" spans="1:9" x14ac:dyDescent="0.35">
      <c r="A35" t="s">
        <v>42</v>
      </c>
      <c r="B35" t="s">
        <v>89</v>
      </c>
      <c r="C35" t="s">
        <v>104</v>
      </c>
      <c r="D35" t="s">
        <v>109</v>
      </c>
      <c r="E35">
        <v>3417</v>
      </c>
      <c r="F35" s="1">
        <v>2.5589</v>
      </c>
      <c r="G35" s="1">
        <v>2.0724</v>
      </c>
      <c r="H35" s="1">
        <v>1</v>
      </c>
      <c r="I35" s="1">
        <v>3</v>
      </c>
    </row>
    <row r="36" spans="1:9" x14ac:dyDescent="0.35">
      <c r="A36" t="s">
        <v>43</v>
      </c>
      <c r="B36" t="s">
        <v>90</v>
      </c>
      <c r="C36" t="s">
        <v>104</v>
      </c>
      <c r="D36" t="s">
        <v>109</v>
      </c>
      <c r="E36">
        <v>4489</v>
      </c>
      <c r="F36" s="1">
        <v>2.5404</v>
      </c>
      <c r="G36" s="1">
        <v>2.0838000000000001</v>
      </c>
      <c r="H36" s="1">
        <v>0</v>
      </c>
      <c r="I36" s="1">
        <v>1.5</v>
      </c>
    </row>
    <row r="37" spans="1:9" x14ac:dyDescent="0.35">
      <c r="A37" t="s">
        <v>44</v>
      </c>
      <c r="B37" t="s">
        <v>91</v>
      </c>
      <c r="C37" t="s">
        <v>104</v>
      </c>
      <c r="D37" t="s">
        <v>109</v>
      </c>
      <c r="E37">
        <v>5007</v>
      </c>
      <c r="F37" s="1">
        <v>2.5270999999999999</v>
      </c>
      <c r="G37" s="1">
        <v>1.9522999999999999</v>
      </c>
      <c r="H37" s="1">
        <v>0.5</v>
      </c>
      <c r="I37" s="1">
        <v>1</v>
      </c>
    </row>
    <row r="38" spans="1:9" x14ac:dyDescent="0.35">
      <c r="A38" t="s">
        <v>45</v>
      </c>
      <c r="B38" t="s">
        <v>92</v>
      </c>
      <c r="C38" t="s">
        <v>104</v>
      </c>
      <c r="D38" t="s">
        <v>109</v>
      </c>
      <c r="E38">
        <v>3039</v>
      </c>
      <c r="F38" s="1">
        <v>2.5308000000000002</v>
      </c>
      <c r="G38" s="1">
        <v>2.0998999999999999</v>
      </c>
      <c r="H38" s="1">
        <v>0.5</v>
      </c>
      <c r="I38" s="1">
        <v>2</v>
      </c>
    </row>
    <row r="39" spans="1:9" x14ac:dyDescent="0.35">
      <c r="A39" t="s">
        <v>46</v>
      </c>
      <c r="B39" t="s">
        <v>93</v>
      </c>
      <c r="C39" t="s">
        <v>105</v>
      </c>
      <c r="D39" t="s">
        <v>110</v>
      </c>
      <c r="E39">
        <v>6448</v>
      </c>
      <c r="F39" s="1">
        <v>2.4952999999999999</v>
      </c>
      <c r="G39" s="1">
        <v>1.9836</v>
      </c>
      <c r="H39" s="1">
        <v>2.5</v>
      </c>
      <c r="I39" s="1">
        <v>1.5</v>
      </c>
    </row>
    <row r="40" spans="1:9" x14ac:dyDescent="0.35">
      <c r="A40" t="s">
        <v>47</v>
      </c>
      <c r="B40" t="s">
        <v>94</v>
      </c>
      <c r="C40" t="s">
        <v>105</v>
      </c>
      <c r="D40" t="s">
        <v>110</v>
      </c>
      <c r="E40">
        <v>5338</v>
      </c>
      <c r="F40" s="1">
        <v>2.5529000000000002</v>
      </c>
      <c r="G40" s="1">
        <v>2.2170999999999998</v>
      </c>
      <c r="H40" s="1">
        <v>1.5</v>
      </c>
      <c r="I40" s="1">
        <v>4</v>
      </c>
    </row>
    <row r="41" spans="1:9" x14ac:dyDescent="0.35">
      <c r="A41" t="s">
        <v>48</v>
      </c>
      <c r="B41" t="s">
        <v>95</v>
      </c>
      <c r="C41" t="s">
        <v>105</v>
      </c>
      <c r="D41" t="s">
        <v>110</v>
      </c>
      <c r="E41">
        <v>6074</v>
      </c>
      <c r="F41" s="1">
        <v>2.5015999999999998</v>
      </c>
      <c r="G41" s="1">
        <v>2.0005999999999999</v>
      </c>
      <c r="H41" s="1">
        <v>1</v>
      </c>
      <c r="I41" s="1">
        <v>1</v>
      </c>
    </row>
    <row r="42" spans="1:9" x14ac:dyDescent="0.35">
      <c r="A42" t="s">
        <v>49</v>
      </c>
      <c r="B42" t="s">
        <v>96</v>
      </c>
      <c r="C42" t="s">
        <v>105</v>
      </c>
      <c r="D42" t="s">
        <v>110</v>
      </c>
      <c r="E42">
        <v>27080</v>
      </c>
      <c r="F42" s="1">
        <v>2.5546000000000002</v>
      </c>
      <c r="G42" s="1">
        <v>2.1747999999999998</v>
      </c>
      <c r="H42" s="1">
        <v>1.5</v>
      </c>
      <c r="I42" s="1">
        <v>2</v>
      </c>
    </row>
    <row r="43" spans="1:9" x14ac:dyDescent="0.35">
      <c r="A43" t="s">
        <v>50</v>
      </c>
      <c r="B43" t="s">
        <v>97</v>
      </c>
      <c r="C43" t="s">
        <v>105</v>
      </c>
      <c r="D43" t="s">
        <v>110</v>
      </c>
      <c r="E43">
        <v>22713</v>
      </c>
      <c r="F43" s="1">
        <v>2.5831</v>
      </c>
      <c r="G43" s="1">
        <v>2.1021000000000001</v>
      </c>
      <c r="H43" s="1">
        <v>3</v>
      </c>
      <c r="I43" s="1">
        <v>1.5</v>
      </c>
    </row>
    <row r="44" spans="1:9" x14ac:dyDescent="0.35">
      <c r="A44" t="s">
        <v>51</v>
      </c>
      <c r="B44" t="s">
        <v>98</v>
      </c>
      <c r="C44" t="s">
        <v>105</v>
      </c>
      <c r="D44" t="s">
        <v>110</v>
      </c>
      <c r="E44">
        <v>4382</v>
      </c>
      <c r="F44" s="1">
        <v>2.4958</v>
      </c>
      <c r="G44" s="1">
        <v>1.9888999999999999</v>
      </c>
      <c r="H44" s="1">
        <v>2.5</v>
      </c>
      <c r="I44" s="1">
        <v>3</v>
      </c>
    </row>
    <row r="45" spans="1:9" x14ac:dyDescent="0.35">
      <c r="A45" t="s">
        <v>52</v>
      </c>
      <c r="B45" t="s">
        <v>99</v>
      </c>
      <c r="C45" t="s">
        <v>105</v>
      </c>
      <c r="D45" t="s">
        <v>110</v>
      </c>
      <c r="E45">
        <v>3960</v>
      </c>
      <c r="F45" s="1">
        <v>2.4161000000000001</v>
      </c>
      <c r="G45" s="1">
        <v>1.3863000000000001</v>
      </c>
      <c r="H45" s="1">
        <v>1</v>
      </c>
      <c r="I45" s="1">
        <v>1.5</v>
      </c>
    </row>
    <row r="46" spans="1:9" x14ac:dyDescent="0.35">
      <c r="A46" t="s">
        <v>53</v>
      </c>
      <c r="B46" t="s">
        <v>100</v>
      </c>
      <c r="C46" t="s">
        <v>105</v>
      </c>
      <c r="D46" t="s">
        <v>110</v>
      </c>
      <c r="E46">
        <v>5624</v>
      </c>
      <c r="F46" s="1">
        <v>2.5017999999999998</v>
      </c>
      <c r="G46" s="1">
        <v>1.9944</v>
      </c>
      <c r="H46" s="1">
        <v>1</v>
      </c>
      <c r="I46" s="1">
        <v>3</v>
      </c>
    </row>
    <row r="47" spans="1:9" x14ac:dyDescent="0.35">
      <c r="A47" t="s">
        <v>54</v>
      </c>
      <c r="B47" t="s">
        <v>101</v>
      </c>
      <c r="C47" t="s">
        <v>105</v>
      </c>
      <c r="D47" t="s">
        <v>110</v>
      </c>
      <c r="E47">
        <v>20876</v>
      </c>
      <c r="F47" s="1">
        <v>2.5464000000000002</v>
      </c>
      <c r="G47" s="1">
        <v>2.0228999999999999</v>
      </c>
      <c r="H47" s="1">
        <v>3.5</v>
      </c>
      <c r="I47" s="1">
        <v>2</v>
      </c>
    </row>
    <row r="48" spans="1:9" x14ac:dyDescent="0.35">
      <c r="A48" t="s">
        <v>55</v>
      </c>
      <c r="B48" t="s">
        <v>102</v>
      </c>
      <c r="C48" t="s">
        <v>105</v>
      </c>
      <c r="D48" t="s">
        <v>110</v>
      </c>
      <c r="E48">
        <v>5257</v>
      </c>
      <c r="F48" s="1">
        <v>2.5449000000000002</v>
      </c>
      <c r="G48" s="1">
        <v>2.0644</v>
      </c>
      <c r="H48" s="1">
        <v>1.5</v>
      </c>
      <c r="I48" s="1">
        <v>3.5</v>
      </c>
    </row>
    <row r="50" spans="5:9" x14ac:dyDescent="0.35">
      <c r="E50" s="3" t="s">
        <v>111</v>
      </c>
      <c r="F50" s="4">
        <f>AVERAGE(F2:F48)</f>
        <v>2.5185234042553186</v>
      </c>
      <c r="G50" s="4">
        <f>AVERAGE(G2:G48)</f>
        <v>2.0482744680851068</v>
      </c>
      <c r="H50" s="4">
        <f>AVERAGE(H2:H48)</f>
        <v>1.3085106382978724</v>
      </c>
      <c r="I50" s="4">
        <f>AVERAGE(I2:I48)</f>
        <v>1.8670212765957446</v>
      </c>
    </row>
  </sheetData>
  <autoFilter ref="A1:I48" xr:uid="{00000000-0001-0000-0000-000000000000}"/>
  <conditionalFormatting sqref="F2:F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4BC9-BCA7-477A-86EC-C462E62D3CFA}">
  <dimension ref="A3:E9"/>
  <sheetViews>
    <sheetView workbookViewId="0">
      <selection activeCell="A3" sqref="A3"/>
    </sheetView>
  </sheetViews>
  <sheetFormatPr defaultRowHeight="14.5" x14ac:dyDescent="0.35"/>
  <cols>
    <col min="1" max="1" width="37.26953125" bestFit="1" customWidth="1"/>
    <col min="2" max="2" width="16.81640625" bestFit="1" customWidth="1"/>
    <col min="3" max="3" width="23.90625" bestFit="1" customWidth="1"/>
    <col min="4" max="4" width="25" bestFit="1" customWidth="1"/>
    <col min="5" max="5" width="11.81640625" bestFit="1" customWidth="1"/>
    <col min="6" max="6" width="37.453125" bestFit="1" customWidth="1"/>
    <col min="7" max="7" width="33.36328125" bestFit="1" customWidth="1"/>
    <col min="8" max="8" width="42.26953125" bestFit="1" customWidth="1"/>
    <col min="9" max="9" width="39.08984375" bestFit="1" customWidth="1"/>
  </cols>
  <sheetData>
    <row r="3" spans="1:5" x14ac:dyDescent="0.35">
      <c r="B3" s="5" t="s">
        <v>112</v>
      </c>
    </row>
    <row r="4" spans="1:5" x14ac:dyDescent="0.35">
      <c r="A4" s="5" t="s">
        <v>117</v>
      </c>
      <c r="B4" t="s">
        <v>105</v>
      </c>
      <c r="C4" t="s">
        <v>103</v>
      </c>
      <c r="D4" t="s">
        <v>104</v>
      </c>
      <c r="E4" t="s">
        <v>113</v>
      </c>
    </row>
    <row r="5" spans="1:5" x14ac:dyDescent="0.35">
      <c r="A5" s="6" t="s">
        <v>115</v>
      </c>
      <c r="B5" s="7">
        <v>2.5192499999999995</v>
      </c>
      <c r="C5" s="7">
        <v>2.5130599999999994</v>
      </c>
      <c r="D5" s="7">
        <v>2.5245235294117641</v>
      </c>
      <c r="E5" s="7">
        <v>2.5185234042553186</v>
      </c>
    </row>
    <row r="6" spans="1:5" x14ac:dyDescent="0.35">
      <c r="A6" s="6" t="s">
        <v>116</v>
      </c>
      <c r="B6" s="7">
        <v>1.9935099999999999</v>
      </c>
      <c r="C6" s="7">
        <v>2.0671450000000005</v>
      </c>
      <c r="D6" s="7">
        <v>2.0582882352941176</v>
      </c>
      <c r="E6" s="7">
        <v>2.0482744680851064</v>
      </c>
    </row>
    <row r="7" spans="1:5" x14ac:dyDescent="0.35">
      <c r="A7" s="6" t="s">
        <v>118</v>
      </c>
      <c r="B7" s="7">
        <v>2.2999999999999998</v>
      </c>
      <c r="C7" s="7">
        <v>1.65</v>
      </c>
      <c r="D7" s="7">
        <v>1.8676470588235294</v>
      </c>
      <c r="E7" s="7">
        <v>1.8670212765957446</v>
      </c>
    </row>
    <row r="8" spans="1:5" x14ac:dyDescent="0.35">
      <c r="A8" s="6" t="s">
        <v>119</v>
      </c>
      <c r="B8" s="7">
        <v>1.9</v>
      </c>
      <c r="C8" s="7">
        <v>1.575</v>
      </c>
      <c r="D8" s="7">
        <v>0.6470588235294118</v>
      </c>
      <c r="E8" s="7">
        <v>1.3085106382978724</v>
      </c>
    </row>
    <row r="9" spans="1:5" x14ac:dyDescent="0.35">
      <c r="A9" s="6" t="s">
        <v>114</v>
      </c>
      <c r="B9">
        <v>10775.2</v>
      </c>
      <c r="C9">
        <v>18232.75</v>
      </c>
      <c r="D9">
        <v>3049.705882352941</v>
      </c>
      <c r="E9">
        <v>11154.297872340425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Pranav Gilda</cp:lastModifiedBy>
  <dcterms:created xsi:type="dcterms:W3CDTF">2025-11-08T02:08:10Z</dcterms:created>
  <dcterms:modified xsi:type="dcterms:W3CDTF">2025-11-11T05:18:11Z</dcterms:modified>
</cp:coreProperties>
</file>